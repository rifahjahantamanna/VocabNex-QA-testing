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ownloads\"/>
    </mc:Choice>
  </mc:AlternateContent>
  <xr:revisionPtr revIDLastSave="0" documentId="13_ncr:1_{DCCCBFBA-E440-40B1-A307-B98803B518CB}" xr6:coauthVersionLast="47" xr6:coauthVersionMax="47" xr10:uidLastSave="{00000000-0000-0000-0000-000000000000}"/>
  <bookViews>
    <workbookView xWindow="-108" yWindow="-108" windowWidth="23256" windowHeight="12456" tabRatio="500" xr2:uid="{00000000-000D-0000-FFFF-FFFF00000000}"/>
  </bookViews>
  <sheets>
    <sheet name="Test Plan" sheetId="1" r:id="rId1"/>
    <sheet name="Test Cases" sheetId="2" r:id="rId2"/>
    <sheet name="Bug Log" sheetId="5" r:id="rId3"/>
    <sheet name="Summary Report" sheetId="4" r:id="rId4"/>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8" i="4" l="1"/>
  <c r="B7" i="4"/>
  <c r="B6" i="4"/>
  <c r="B4" i="4"/>
  <c r="B3" i="4"/>
  <c r="B5" i="4"/>
</calcChain>
</file>

<file path=xl/sharedStrings.xml><?xml version="1.0" encoding="utf-8"?>
<sst xmlns="http://schemas.openxmlformats.org/spreadsheetml/2006/main" count="357" uniqueCount="246">
  <si>
    <t>Vocabnex — QA Test Plan</t>
  </si>
  <si>
    <t>Live URL: https://vocab-nex.vercel.app/</t>
  </si>
  <si>
    <t>Project</t>
  </si>
  <si>
    <t>Vocabnex — Vocabulary learning web app (Next.js)</t>
  </si>
  <si>
    <t>Objective</t>
  </si>
  <si>
    <t>Verify core user flows (Signup/Login, Add Word, Quiz/Spaced Repetition) function correctly, identify defects, and produce a QA portfolio artifact demonstrating manual test design, exploratory testing, bug reporting, and test automation skills.</t>
  </si>
  <si>
    <t>Scope - In</t>
  </si>
  <si>
    <t>User registration &amp; login, Add Word feature, Quiz (multiple choice) flow, basic navigation between Dashboard / Flashcards / Quiz, session/logout behavior.</t>
  </si>
  <si>
    <t>Scope - Out</t>
  </si>
  <si>
    <t>Performance/load testing, security penetration testing, cross-browser matrix beyond Chrome, backend/API internals not exposed via UI.</t>
  </si>
  <si>
    <t>Test Approach</t>
  </si>
  <si>
    <t>Environment</t>
  </si>
  <si>
    <t>Production URL (https://vocab-nex.vercel.app/), Chrome browser, desktop viewport.</t>
  </si>
  <si>
    <t>Entry Criteria</t>
  </si>
  <si>
    <t>Application is publicly accessible; test cases are drafted and reviewed.</t>
  </si>
  <si>
    <t>Exit Criteria</t>
  </si>
  <si>
    <t>All planned test cases executed at least once; all found defects logged with severity/priority; summary report completed.</t>
  </si>
  <si>
    <t>Tools Used</t>
  </si>
  <si>
    <t>Known Open Question</t>
  </si>
  <si>
    <t>Exact spaced-repetition algorithm (how word repetition frequency is determined) is not yet documented — to be reverse-engineered via exploratory testing on Day 1 and recorded as 'Observed Behavior' rather than assumed 'Expected Behavior'.</t>
  </si>
  <si>
    <t>Test ID</t>
  </si>
  <si>
    <t>Module</t>
  </si>
  <si>
    <t>Title</t>
  </si>
  <si>
    <t>Preconditions</t>
  </si>
  <si>
    <t>Steps</t>
  </si>
  <si>
    <t>Expected Result</t>
  </si>
  <si>
    <t>Actual Result</t>
  </si>
  <si>
    <t>Status</t>
  </si>
  <si>
    <t>Priority</t>
  </si>
  <si>
    <t>Notes</t>
  </si>
  <si>
    <t>TC-001</t>
  </si>
  <si>
    <t>Auth</t>
  </si>
  <si>
    <t>Successful signup with valid details</t>
  </si>
  <si>
    <t>User not registered</t>
  </si>
  <si>
    <t>1. Go to signup page
2. Enter valid name/email/password
3. Submit form</t>
  </si>
  <si>
    <t>Account created; user redirected to dashboard or shown success/login prompt</t>
  </si>
  <si>
    <t>Not Run</t>
  </si>
  <si>
    <t>High</t>
  </si>
  <si>
    <t>TC-002</t>
  </si>
  <si>
    <t>Signup with already-registered email</t>
  </si>
  <si>
    <t>Account already exists for the email</t>
  </si>
  <si>
    <t>1. Go to signup
2. Enter an email already in use
3. Submit</t>
  </si>
  <si>
    <t>Clear error message shown; no duplicate account created</t>
  </si>
  <si>
    <t>TC-003</t>
  </si>
  <si>
    <t>Signup with invalid email format</t>
  </si>
  <si>
    <t>None</t>
  </si>
  <si>
    <t>1. Go to signup
2. Enter invalid email (e.g. 'abc@')
3. Submit</t>
  </si>
  <si>
    <t>Validation error shown; form not submitted</t>
  </si>
  <si>
    <t>Medium</t>
  </si>
  <si>
    <t>TC-004</t>
  </si>
  <si>
    <t>Signup with weak/empty password</t>
  </si>
  <si>
    <t>1. Go to signup
2. Leave password blank or enter 1 character
3. Submit</t>
  </si>
  <si>
    <t>Validation error shown (min length/requirements), form blocked</t>
  </si>
  <si>
    <t>TC-005</t>
  </si>
  <si>
    <t>Successful login with valid credentials</t>
  </si>
  <si>
    <t>Registered account exists</t>
  </si>
  <si>
    <t>1. Go to login
2. Enter correct email/password
3. Submit</t>
  </si>
  <si>
    <t>User logged in and redirected to dashboard</t>
  </si>
  <si>
    <t>TC-006</t>
  </si>
  <si>
    <t>Login with incorrect password</t>
  </si>
  <si>
    <t>1. Go to login
2. Enter correct email, wrong password
3. Submit</t>
  </si>
  <si>
    <t>Error message shown ('invalid credentials'); user not logged in</t>
  </si>
  <si>
    <t>TC-007</t>
  </si>
  <si>
    <t>Login with non-existent email</t>
  </si>
  <si>
    <t>1. Go to login
2. Enter email not in system
3. Submit</t>
  </si>
  <si>
    <t>Error message shown; user not logged in</t>
  </si>
  <si>
    <t>TC-008</t>
  </si>
  <si>
    <t>Logout functionality</t>
  </si>
  <si>
    <t>User logged in</t>
  </si>
  <si>
    <t>1. Click Logout button
2. Attempt to access dashboard directly via URL</t>
  </si>
  <si>
    <t>User is logged out and redirected to login/home; protected pages not accessible</t>
  </si>
  <si>
    <t>TC-009</t>
  </si>
  <si>
    <t>Session persistence on refresh</t>
  </si>
  <si>
    <t>1. Log in
2. Refresh the page</t>
  </si>
  <si>
    <t>User remains logged in (session persists) unless app is designed to require re-login</t>
  </si>
  <si>
    <t>TC-010</t>
  </si>
  <si>
    <t>Add Word</t>
  </si>
  <si>
    <t>Add a new word with valid data</t>
  </si>
  <si>
    <t>TC-011</t>
  </si>
  <si>
    <t>Add word with empty required fields</t>
  </si>
  <si>
    <t>1. Open Add Word form
2. Leave word or meaning blank
3. Submit</t>
  </si>
  <si>
    <t>Validation error shown; word not saved</t>
  </si>
  <si>
    <t>TC-012</t>
  </si>
  <si>
    <t>Add duplicate word</t>
  </si>
  <si>
    <t>Word already exists in user's list</t>
  </si>
  <si>
    <t>1. Add a word
2. Add the exact same word again</t>
  </si>
  <si>
    <t>System either blocks duplicate, warns user, or allows (document actual behavior)</t>
  </si>
  <si>
    <t>Low</t>
  </si>
  <si>
    <t>TC-013</t>
  </si>
  <si>
    <t>Add word with special characters/emojis</t>
  </si>
  <si>
    <t>1. Enter word/meaning containing symbols, emojis, or very long text
2. Submit</t>
  </si>
  <si>
    <t>App handles gracefully — no crash, saved or validation error shown</t>
  </si>
  <si>
    <t>TC-014</t>
  </si>
  <si>
    <t>Quiz</t>
  </si>
  <si>
    <t>Start quiz with available words</t>
  </si>
  <si>
    <t>1. Navigate to Quiz page
2. Start quiz</t>
  </si>
  <si>
    <t>Quiz loads with multiple choice question (word→meaning or meaning→word)</t>
  </si>
  <si>
    <t>TC-015</t>
  </si>
  <si>
    <t>Start quiz with zero words added</t>
  </si>
  <si>
    <t>No words added yet</t>
  </si>
  <si>
    <t>1. Navigate to Quiz page (fresh account)
2. Attempt to start quiz</t>
  </si>
  <si>
    <t>App shows friendly empty state message, not a crash or blank screen</t>
  </si>
  <si>
    <t>TC-016</t>
  </si>
  <si>
    <t>Select correct answer in multiple choice</t>
  </si>
  <si>
    <t>Quiz in progress</t>
  </si>
  <si>
    <t>1. Answer a question correctly
2. Observe feedback</t>
  </si>
  <si>
    <t>Correct feedback shown (e.g. green highlight/checkmark); score/progress updates</t>
  </si>
  <si>
    <t>TC-017</t>
  </si>
  <si>
    <t>Select incorrect answer in multiple choice</t>
  </si>
  <si>
    <t>1. Answer a question incorrectly
2. Observe feedback</t>
  </si>
  <si>
    <t>Incorrect feedback shown; correct answer revealed; score/progress updates accordingly</t>
  </si>
  <si>
    <t>TC-018</t>
  </si>
  <si>
    <t>Complete a full quiz session</t>
  </si>
  <si>
    <t>Quiz in progress with multiple words</t>
  </si>
  <si>
    <t>1. Answer all questions in the quiz to completion</t>
  </si>
  <si>
    <t>Summary/results screen shown (score, correct/incorrect count)</t>
  </si>
  <si>
    <t>TC-019</t>
  </si>
  <si>
    <t>Observe word repetition behavior (EXPLORATORY)</t>
  </si>
  <si>
    <t>Multiple quiz attempts on same word set</t>
  </si>
  <si>
    <t>1. Take the quiz multiple times over multiple sessions
2. Note which words repeat, how often, and whether missed words reappear sooner</t>
  </si>
  <si>
    <t>DOCUMENT actual observed behavior here — this is exploratory, not pass/fail. Use findings to write follow-up test cases.</t>
  </si>
  <si>
    <t>TC-020</t>
  </si>
  <si>
    <t>Refresh/navigate away mid-quiz</t>
  </si>
  <si>
    <t>1. Start a quiz
2. Refresh the browser or navigate to another page mid-quiz
3. Return to quiz</t>
  </si>
  <si>
    <t>App handles gracefully — either resumes, restarts cleanly, or shows clear state; no crash/broken UI</t>
  </si>
  <si>
    <t>TC-021</t>
  </si>
  <si>
    <t>Rapid repeated answer submission</t>
  </si>
  <si>
    <t>1. Click an answer option multiple times rapidly before transition completes</t>
  </si>
  <si>
    <t>No duplicate scoring, no UI glitch or double question skip</t>
  </si>
  <si>
    <t>TC-022</t>
  </si>
  <si>
    <t>Navigation</t>
  </si>
  <si>
    <t>Access protected pages while logged out</t>
  </si>
  <si>
    <t>User logged out</t>
  </si>
  <si>
    <t>1. Log out
2. Directly enter /dashboard, /quiz, or /flashcards URL</t>
  </si>
  <si>
    <t>User redirected to login page, not shown protected content</t>
  </si>
  <si>
    <t>TC-023</t>
  </si>
  <si>
    <t>Navigate between Dashboard/Flashcards/Quiz</t>
  </si>
  <si>
    <t>1. Click through each nav item in sequence</t>
  </si>
  <si>
    <t>Each page loads correctly with no broken links or console errors</t>
  </si>
  <si>
    <t>Bug ID</t>
  </si>
  <si>
    <t>Steps to Reproduce</t>
  </si>
  <si>
    <t>Expected</t>
  </si>
  <si>
    <t>Actual</t>
  </si>
  <si>
    <t>Severity</t>
  </si>
  <si>
    <t>Screenshot/Link</t>
  </si>
  <si>
    <t>BUG-001</t>
  </si>
  <si>
    <t>Open</t>
  </si>
  <si>
    <t>Vocabnex — Test Summary Report</t>
  </si>
  <si>
    <t>Total Test Cases</t>
  </si>
  <si>
    <t>Passed</t>
  </si>
  <si>
    <t>Failed</t>
  </si>
  <si>
    <t>Total Bugs Logged</t>
  </si>
  <si>
    <t>High Severity Bugs</t>
  </si>
  <si>
    <t>Key Findings</t>
  </si>
  <si>
    <t>Signup shows "check your email to verify" message but no verification email is sent</t>
  </si>
  <si>
    <t>1. Go to signup page 2. Enter a valid-format email (even a non-existent one) and password 3. Submit form</t>
  </si>
  <si>
    <t>Either: (a) no verification message should be shown if there's no verification flow, or (b) a real verification email should be sent if the message implies one</t>
  </si>
  <si>
    <t>App displays "check your email to verify" message, but no email is sent and account appears to work without verification</t>
  </si>
  <si>
    <t>Medium (doesn't break core functionality, but it's misleading and could confuse users or hide a missing security feature)</t>
  </si>
  <si>
    <t>https://drive.google.com/file/d/1krP4f9cyd-s1V9he4bLsKfJR3vPfzEE5/view?usp=sharing</t>
  </si>
  <si>
    <t>Pass</t>
  </si>
  <si>
    <t>Attempted signup with the same email as TC-001. App displayed error message "User already exist" and did not create a duplicate account.</t>
  </si>
  <si>
    <t>BUG-002</t>
  </si>
  <si>
    <t>BUG-003</t>
  </si>
  <si>
    <t>No email format validation on signup</t>
  </si>
  <si>
    <t xml:space="preserve"> Reproduce1. Go to signup page 2. Enter an invalid email format (e.g. "abc@" or "notanemail", no proper domain) 3. Fill other fields validly 4. Submit</t>
  </si>
  <si>
    <t>Form should reject invalid email format and show a validation error, preventing submission</t>
  </si>
  <si>
    <t>Form submits successfully with no validation error; invalid email accepted</t>
  </si>
  <si>
    <t xml:space="preserve">Medium </t>
  </si>
  <si>
    <t>Fail</t>
  </si>
  <si>
    <t xml:space="preserve">Entered an invalid email format (e.g. "abc@", no proper domain) and submitted. Form accepted the input with no validation error — no format check performed. </t>
  </si>
  <si>
    <t>See BUG-002.</t>
  </si>
  <si>
    <t xml:space="preserve">Account created successfully with valid email and password, redirected correctly. </t>
  </si>
  <si>
    <t>misleading "check your email" message shown — logged separately as BUG-001.</t>
  </si>
  <si>
    <t>Tested with empty password and with a 5-character password. Both correctly triggered the error "Password should be at least 6 characters" and blocked form submission.</t>
  </si>
  <si>
    <t>Logged out, then logged back in using [account email] with correct password. Successfully authenticated and redirected to [dashboard/home]. No console errors.</t>
  </si>
  <si>
    <t>Entered valid email with incorrect password. App displayed "Invalid login credentials" and did not log the user in.</t>
  </si>
  <si>
    <t>Attempted login with an email that was never registered. App displayed "Invalid login credentials," same message as TC-006, without revealing whether the email exists.</t>
  </si>
  <si>
    <t>After logout, directly navigating to the dashboard URL resulted in a 404 Not Found page instead of a redirect to the login page. Protected content was not exposed (no security issue), but the user experience is confusing/misleading.</t>
  </si>
  <si>
    <t>Fail (partial — protection works, but response should be a login redirect, not a 404)</t>
  </si>
  <si>
    <t>Accessing protected page after logout shows 404 instead of redirecting to login</t>
  </si>
  <si>
    <t>Auth / Navigation</t>
  </si>
  <si>
    <t>1. Log in 2. Log out 3. Manually navigate to the dashboard URL directly in the browser address bar</t>
  </si>
  <si>
    <t>User should be redirected to the login page with a message like "please log in to continue"</t>
  </si>
  <si>
    <t>Browser shows a 404 Not Found page instead</t>
  </si>
  <si>
    <t>While logged in, refreshed the page. User remained logged in; session persisted correctly.</t>
  </si>
  <si>
    <t>1. Navigate to Add Word form 2. Enter only the word (no manual definition) 3. Submit</t>
  </si>
  <si>
    <t>App automatically fetches and displays the word's definition and synonyms</t>
  </si>
  <si>
    <t>Entered only the word "example" and submitted. App auto-fetched and displayed the definition along with 3 synonyms. Word appeared to save successfully.</t>
  </si>
  <si>
    <t>TC-024</t>
  </si>
  <si>
    <t>Navigate to Add Word form → enter a made-up word (e.g. "asdkjfh") → submit</t>
  </si>
  <si>
    <t>App should recognize the word isn't valid and either reject it, show an error, or prompt the user to confirm/re-enter — not save it as a real vocabulary entry</t>
  </si>
  <si>
    <t>App generated a definition stating "not a recognized word" but still saved the invalid word into the dataset</t>
  </si>
  <si>
    <t>Add a glibberrish word</t>
  </si>
  <si>
    <t>BUG-004</t>
  </si>
  <si>
    <t>Invalid/gibberish words are saved to vocabulary dataset instead of being rejected</t>
  </si>
  <si>
    <t>1. Go to Add Word form 2. Enter a made-up/non-dictionary word (e.g. "asdkjfh") 3. Submit</t>
  </si>
  <si>
    <t>App should detect the word isn't valid and prevent it from being added, or clearly warn the user before saving</t>
  </si>
  <si>
    <t>App saves the word anyway, with a definition of "not a recognized word" — polluting the user's vocabulary dataset with junk entries that will later appear in Flashcards/Quiz</t>
  </si>
  <si>
    <t>Submitted the Add Word form with the word field empty. No entry was saved; data integrity preserved. No error message shown, but considered acceptable since no invalid data reached the system.</t>
  </si>
  <si>
    <t>Added the same valid word twice. Word list now shows two separate, identical entries instead of blocking the duplicate or merging it.</t>
  </si>
  <si>
    <t>Bug-005</t>
  </si>
  <si>
    <t>BUG-005</t>
  </si>
  <si>
    <t>Duplicate words can be added to vocabulary list without warning or merging</t>
  </si>
  <si>
    <t>1. Add a word (e.g. "example") 2. Add the exact same word again</t>
  </si>
  <si>
    <t>App should either block the duplicate, warn the user, or merge it into the existing entry</t>
  </si>
  <si>
    <t>Word is added again as a separate, duplicate entry with no warning</t>
  </si>
  <si>
    <t>No native emoji input was possible via the form. Tested with text emoticon ":3" instead — app accepted it and generated a definition describing it as "an emoticon to convey cuteness." This confirms the same root issue as BUG-004: the app does not validate whether input is a genuine vocabulary word before saving/defining it.</t>
  </si>
  <si>
    <t>linked to BUG-004</t>
  </si>
  <si>
    <t>At least 4 word added</t>
  </si>
  <si>
    <t>Started quiz (powered by Gemini API for question/option generation). Quiz functions correctly and generates multiple-choice questions using words from the user's list, but invalid entries added earlier (e.g. "asdkjfh", ":3") appeared as quiz questions/options. Multiple choice options are drawn only from the user's own word list (not external random words).</t>
  </si>
  <si>
    <t>Tested with a brand new account (0 words). Attempted to start quiz. App correctly displayed "you need at least 4 words" message and blocked quiz start — same behavior as with 1-3 words.</t>
  </si>
  <si>
    <t xml:space="preserve"> Answered a quiz question correctly. Selected option was highlighted green, and the score/progress indicator updated accordingly.</t>
  </si>
  <si>
    <t>Answered a quiz question incorrectly. Selected option was highlighted red, and the correct answer was also highlighted/shown for reference.</t>
  </si>
  <si>
    <t xml:space="preserve"> Completed a full quiz session. Results screen displayed final score (e.g. "7/10").</t>
  </si>
  <si>
    <t>BUG-006</t>
  </si>
  <si>
    <t>No observable spaced-repetition logic in quiz word selection</t>
  </si>
  <si>
    <t xml:space="preserve"> Reproduce1. Add several words 2. Take the quiz multiple times, deliberately answering some words wrong and some right 3. Observe which words appear in subsequent quiz sessions</t>
  </si>
  <si>
    <t>Since the app concept implies spaced repetition, previously missed words should reappear more frequently than correctly-answered ones</t>
  </si>
  <si>
    <t>Quiz appears to pull from the full word list each time with no visible prioritization based on past performance</t>
  </si>
  <si>
    <t>Low (Feature Gap)</t>
  </si>
  <si>
    <t>Feature gap</t>
  </si>
  <si>
    <t>see BUG-006</t>
  </si>
  <si>
    <t>Actual Result: Started quiz, answered 1-2 questions, then refreshed the browser mid-quiz. Quiz restarted cleanly from question 1 with no leftover state (no old score displayed, no duplicate/broken UI).</t>
  </si>
  <si>
    <t>(1) Rapidly clicking an answer option multiple times had no adverse effect — appears properly debounced/ignored.
(2) Rapidly clicking the "Next" button, however, caused the quiz to skip through all remaining questions without allowing the user to answer them, and jumped straight to the results screen showing an inaccurate score (e.g. "1/9") despite the user never actually attempting most of the questions.</t>
  </si>
  <si>
    <t>BUG-007</t>
  </si>
  <si>
    <t>Rapidly clicking "Next" button skips remaining quiz questions and produces inaccurate final score</t>
  </si>
  <si>
    <t>1. Start a quiz with multiple questions 2. Click the "Next" button rapidly/repeatedly before the next question fully loads 3. Observe the app jumps to the results screen</t>
  </si>
  <si>
    <t>"Next" button should be disabled or debounced during question transitions, ensuring the user answers every question before reaching results</t>
  </si>
  <si>
    <t>Rapid clicking skips all remaining unanswered questions, jumps directly to results, and shows an inaccurate/unfair score reflecting only the few questions actually interacted with</t>
  </si>
  <si>
    <t>Logged out, then navigated directly to /flashcards and /dashboard (recheck) URLs. Page displayed "Loading flashcards..." / "Loading dashboard..." messages indefinitely, with content never actually loading even after extended wait. No redirect to login occurred.</t>
  </si>
  <si>
    <t>BUG-008</t>
  </si>
  <si>
    <t>Protected pages get stuck on infinite "Loading..." state when accessed while logged out</t>
  </si>
  <si>
    <t>Navigation / Auth</t>
  </si>
  <si>
    <t>Log out 2. Directly navigate to /flashcards (or other protected route) via URL</t>
  </si>
  <si>
    <t>User should be redirected to the login page, not left on an infinite loading screen</t>
  </si>
  <si>
    <t>Page displays a permanent "Loading..." message and never resolves or redirects, leaving the user stuck</t>
  </si>
  <si>
    <t>Navigated through Dashboard → Flashcards → Quiz while checking browser console. Console showed 1 error on the Quiz page, caused by the Gemini API (used to generate quiz questions) failing — likely due to free-tier quota/rate limits. The Quiz page showed the heading "Quiz Questions" but the card area was blank, with no error message or fallback shown to the user.</t>
  </si>
  <si>
    <t>BUG-009</t>
  </si>
  <si>
    <t>No error handling when Gemini API fails — Quiz page shows blank card with no user feedback</t>
  </si>
  <si>
    <t>1. Navigate to Quiz page when the Gemini API call fails (e.g. due to quota limits) 2. Observe the page</t>
  </si>
  <si>
    <t>App should catch the API failure and show a clear message (e.g. "Unable to generate quiz right now, please try again later") instead of a silent blank state</t>
  </si>
  <si>
    <t>Page shows "Quiz Questions" heading with an empty card and no explanation; error only visible in browser console (which regular users never check)</t>
  </si>
  <si>
    <t>1)Exploratory session to document actual behavior (esp. spaced-repetition logic, which is undocumented) 2) Manual scripted test case execution 3) Bug logging 4) Summary report. (Automation scoped out for this phase; manual testing only.)</t>
  </si>
  <si>
    <t>Excel (test case design and execution tracking), Bug Log sheet (defect tracking), Chrome DevTools (console inspection during manual testing).</t>
  </si>
  <si>
    <t>Manual testing was conducted across Authentication, Add Word, and Quiz modules, covering 25 test cases (including 2 additional exploratory cases identified during testing). 9 defects were identified, ranging from Low to High severity.
Key issues found:
No validation prevents invalid or non-dictionary words (and duplicates) from being added, which later surface as real quiz questions — a data-quality issue affecting the app's core learning feature.
Protected routes behave inconsistently and unhelpfully when accessed while logged out: one route returns a 404, another hangs indefinitely on a loading screen, with neither redirecting to login.
A scoring-integrity bug allows rapid navigation to skip quiz questions entirely while still generating a final score, undermining trust in the quiz results.
No error handling exists for third-party API failures (Gemini API), leaving users with a blank, unexplained quiz screen during outages.
Exploratory testing found no observable spaced-repetition logic despite the app's core concept implying adaptive review — flagged as a feature gap for product follow-up.
No critical security vulnerabilities were identified in authentication flows; login/logout and session handling performed correctly, and password/duplicate-email validation worked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</si>
</sst>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1F4E78"/>
      <name val="Arial"/>
      <family val="2"/>
    </font>
    <font>
      <i/>
      <sz val="10"/>
      <color rgb="FF555555"/>
      <name val="Arial"/>
      <family val="2"/>
    </font>
    <font>
      <b/>
      <sz val="10"/>
      <name val="Arial"/>
      <family val="2"/>
    </font>
    <font>
      <sz val="10"/>
      <name val="Arial"/>
      <family val="2"/>
    </font>
    <font>
      <b/>
      <sz val="10"/>
      <color rgb="FFFFFFFF"/>
      <name val="Arial"/>
      <family val="2"/>
    </font>
    <font>
      <u/>
      <sz val="11"/>
      <color theme="10"/>
      <name val="Calibri"/>
      <family val="2"/>
      <charset val="1"/>
    </font>
    <font>
      <i/>
      <sz val="10"/>
      <name val="Arial"/>
      <family val="2"/>
    </font>
    <font>
      <i/>
      <sz val="10"/>
      <name val="Calibri"/>
      <family val="2"/>
      <scheme val="minor"/>
    </font>
  </fonts>
  <fills count="3">
    <fill>
      <patternFill patternType="none"/>
    </fill>
    <fill>
      <patternFill patternType="gray125"/>
    </fill>
    <fill>
      <patternFill patternType="solid">
        <fgColor rgb="FF1F4E78"/>
        <bgColor rgb="FF00336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top" wrapText="1"/>
    </xf>
    <xf numFmtId="0" fontId="4" fillId="0" borderId="1" xfId="0" applyFont="1" applyBorder="1" applyAlignment="1">
      <alignment vertical="top" wrapText="1"/>
    </xf>
    <xf numFmtId="0" fontId="1" fillId="0" borderId="0" xfId="0" applyFont="1"/>
    <xf numFmtId="0" fontId="2" fillId="0" borderId="0" xfId="0" applyFont="1"/>
    <xf numFmtId="0" fontId="7" fillId="0" borderId="1" xfId="0" applyFont="1" applyBorder="1" applyAlignment="1">
      <alignment vertical="top" wrapText="1"/>
    </xf>
    <xf numFmtId="0" fontId="8" fillId="0" borderId="1" xfId="0" applyFont="1" applyBorder="1" applyAlignment="1">
      <alignment vertical="top" wrapText="1"/>
    </xf>
    <xf numFmtId="0" fontId="6" fillId="0" borderId="1" xfId="1" applyBorder="1" applyAlignment="1">
      <alignment vertical="top" wrapText="1"/>
    </xf>
    <xf numFmtId="0" fontId="4" fillId="0" borderId="2"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krP4f9cyd-s1V9he4bLsKfJR3vPfzEE5/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topLeftCell="A7" zoomScaleNormal="100" workbookViewId="0">
      <selection activeCell="B12" sqref="B12"/>
    </sheetView>
  </sheetViews>
  <sheetFormatPr defaultColWidth="8.6640625" defaultRowHeight="14.4" x14ac:dyDescent="0.3"/>
  <cols>
    <col min="1" max="1" width="28" customWidth="1"/>
    <col min="2" max="2" width="90" customWidth="1"/>
  </cols>
  <sheetData>
    <row r="1" spans="1:2" ht="17.25" customHeight="1" x14ac:dyDescent="0.3">
      <c r="A1" s="5" t="s">
        <v>0</v>
      </c>
      <c r="B1" s="5"/>
    </row>
    <row r="2" spans="1:2" ht="15" customHeight="1" x14ac:dyDescent="0.3">
      <c r="A2" s="6" t="s">
        <v>1</v>
      </c>
      <c r="B2" s="6"/>
    </row>
    <row r="4" spans="1:2" ht="45" customHeight="1" x14ac:dyDescent="0.3">
      <c r="A4" s="1" t="s">
        <v>2</v>
      </c>
      <c r="B4" s="2" t="s">
        <v>3</v>
      </c>
    </row>
    <row r="5" spans="1:2" ht="45" customHeight="1" x14ac:dyDescent="0.3">
      <c r="A5" s="1" t="s">
        <v>4</v>
      </c>
      <c r="B5" s="2" t="s">
        <v>5</v>
      </c>
    </row>
    <row r="6" spans="1:2" ht="45" customHeight="1" x14ac:dyDescent="0.3">
      <c r="A6" s="1" t="s">
        <v>6</v>
      </c>
      <c r="B6" s="2" t="s">
        <v>7</v>
      </c>
    </row>
    <row r="7" spans="1:2" ht="45" customHeight="1" x14ac:dyDescent="0.3">
      <c r="A7" s="1" t="s">
        <v>8</v>
      </c>
      <c r="B7" s="2" t="s">
        <v>9</v>
      </c>
    </row>
    <row r="8" spans="1:2" ht="45" customHeight="1" x14ac:dyDescent="0.3">
      <c r="A8" s="1" t="s">
        <v>10</v>
      </c>
      <c r="B8" s="2" t="s">
        <v>243</v>
      </c>
    </row>
    <row r="9" spans="1:2" ht="45" customHeight="1" x14ac:dyDescent="0.3">
      <c r="A9" s="1" t="s">
        <v>11</v>
      </c>
      <c r="B9" s="2" t="s">
        <v>12</v>
      </c>
    </row>
    <row r="10" spans="1:2" ht="45" customHeight="1" x14ac:dyDescent="0.3">
      <c r="A10" s="1" t="s">
        <v>13</v>
      </c>
      <c r="B10" s="2" t="s">
        <v>14</v>
      </c>
    </row>
    <row r="11" spans="1:2" ht="45" customHeight="1" x14ac:dyDescent="0.3">
      <c r="A11" s="1" t="s">
        <v>15</v>
      </c>
      <c r="B11" s="2" t="s">
        <v>16</v>
      </c>
    </row>
    <row r="12" spans="1:2" ht="45" customHeight="1" x14ac:dyDescent="0.3">
      <c r="A12" s="1" t="s">
        <v>17</v>
      </c>
      <c r="B12" s="2" t="s">
        <v>244</v>
      </c>
    </row>
    <row r="13" spans="1:2" ht="45" customHeight="1" x14ac:dyDescent="0.3">
      <c r="A13" s="1" t="s">
        <v>18</v>
      </c>
      <c r="B13" s="2" t="s">
        <v>19</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
  <sheetViews>
    <sheetView zoomScaleNormal="100" workbookViewId="0">
      <pane ySplit="1" topLeftCell="A20" activePane="bottomLeft" state="frozen"/>
      <selection pane="bottomLeft" activeCell="H25" sqref="H25"/>
    </sheetView>
  </sheetViews>
  <sheetFormatPr defaultColWidth="8.6640625" defaultRowHeight="14.4" x14ac:dyDescent="0.3"/>
  <cols>
    <col min="1" max="1" width="9" customWidth="1"/>
    <col min="2" max="2" width="14" customWidth="1"/>
    <col min="3" max="3" width="26" customWidth="1"/>
    <col min="4" max="4" width="20" customWidth="1"/>
    <col min="5" max="5" width="45" customWidth="1"/>
    <col min="6" max="6" width="35" customWidth="1"/>
    <col min="7" max="7" width="20" customWidth="1"/>
    <col min="8" max="9" width="10" customWidth="1"/>
    <col min="10" max="10" width="22" customWidth="1"/>
  </cols>
  <sheetData>
    <row r="1" spans="1:10" ht="15" customHeight="1" x14ac:dyDescent="0.3">
      <c r="A1" s="3" t="s">
        <v>20</v>
      </c>
      <c r="B1" s="3" t="s">
        <v>21</v>
      </c>
      <c r="C1" s="3" t="s">
        <v>22</v>
      </c>
      <c r="D1" s="3" t="s">
        <v>23</v>
      </c>
      <c r="E1" s="3" t="s">
        <v>24</v>
      </c>
      <c r="F1" s="3" t="s">
        <v>25</v>
      </c>
      <c r="G1" s="3" t="s">
        <v>26</v>
      </c>
      <c r="H1" s="3" t="s">
        <v>27</v>
      </c>
      <c r="I1" s="3" t="s">
        <v>28</v>
      </c>
      <c r="J1" s="3" t="s">
        <v>29</v>
      </c>
    </row>
    <row r="2" spans="1:10" ht="60" customHeight="1" x14ac:dyDescent="0.3">
      <c r="A2" s="4" t="s">
        <v>30</v>
      </c>
      <c r="B2" s="4" t="s">
        <v>31</v>
      </c>
      <c r="C2" s="4" t="s">
        <v>32</v>
      </c>
      <c r="D2" s="4" t="s">
        <v>33</v>
      </c>
      <c r="E2" s="4" t="s">
        <v>34</v>
      </c>
      <c r="F2" s="4" t="s">
        <v>35</v>
      </c>
      <c r="G2" s="4" t="s">
        <v>172</v>
      </c>
      <c r="H2" s="4" t="s">
        <v>160</v>
      </c>
      <c r="I2" s="4" t="s">
        <v>37</v>
      </c>
      <c r="J2" s="4" t="s">
        <v>173</v>
      </c>
    </row>
    <row r="3" spans="1:10" ht="60" customHeight="1" x14ac:dyDescent="0.3">
      <c r="A3" s="4" t="s">
        <v>38</v>
      </c>
      <c r="B3" s="4" t="s">
        <v>31</v>
      </c>
      <c r="C3" s="4" t="s">
        <v>39</v>
      </c>
      <c r="D3" s="4" t="s">
        <v>40</v>
      </c>
      <c r="E3" s="4" t="s">
        <v>41</v>
      </c>
      <c r="F3" s="4" t="s">
        <v>42</v>
      </c>
      <c r="G3" s="4" t="s">
        <v>161</v>
      </c>
      <c r="H3" s="4" t="s">
        <v>160</v>
      </c>
      <c r="I3" s="4" t="s">
        <v>37</v>
      </c>
      <c r="J3" s="4"/>
    </row>
    <row r="4" spans="1:10" ht="60" customHeight="1" x14ac:dyDescent="0.3">
      <c r="A4" s="4" t="s">
        <v>43</v>
      </c>
      <c r="B4" s="4" t="s">
        <v>31</v>
      </c>
      <c r="C4" s="4" t="s">
        <v>44</v>
      </c>
      <c r="D4" s="4" t="s">
        <v>45</v>
      </c>
      <c r="E4" s="4" t="s">
        <v>46</v>
      </c>
      <c r="F4" s="4" t="s">
        <v>47</v>
      </c>
      <c r="G4" s="4" t="s">
        <v>170</v>
      </c>
      <c r="H4" s="4" t="s">
        <v>169</v>
      </c>
      <c r="I4" s="4" t="s">
        <v>48</v>
      </c>
      <c r="J4" s="4" t="s">
        <v>171</v>
      </c>
    </row>
    <row r="5" spans="1:10" ht="60" customHeight="1" x14ac:dyDescent="0.3">
      <c r="A5" s="4" t="s">
        <v>49</v>
      </c>
      <c r="B5" s="4" t="s">
        <v>31</v>
      </c>
      <c r="C5" s="4" t="s">
        <v>50</v>
      </c>
      <c r="D5" s="4" t="s">
        <v>45</v>
      </c>
      <c r="E5" s="4" t="s">
        <v>51</v>
      </c>
      <c r="F5" s="4" t="s">
        <v>52</v>
      </c>
      <c r="G5" s="4" t="s">
        <v>174</v>
      </c>
      <c r="H5" s="4" t="s">
        <v>160</v>
      </c>
      <c r="I5" s="4" t="s">
        <v>48</v>
      </c>
      <c r="J5" s="4"/>
    </row>
    <row r="6" spans="1:10" ht="60" customHeight="1" x14ac:dyDescent="0.3">
      <c r="A6" s="4" t="s">
        <v>53</v>
      </c>
      <c r="B6" s="4" t="s">
        <v>31</v>
      </c>
      <c r="C6" s="4" t="s">
        <v>54</v>
      </c>
      <c r="D6" s="4" t="s">
        <v>55</v>
      </c>
      <c r="E6" s="4" t="s">
        <v>56</v>
      </c>
      <c r="F6" s="4" t="s">
        <v>57</v>
      </c>
      <c r="G6" s="4" t="s">
        <v>175</v>
      </c>
      <c r="H6" s="4" t="s">
        <v>160</v>
      </c>
      <c r="I6" s="4" t="s">
        <v>37</v>
      </c>
      <c r="J6" s="4"/>
    </row>
    <row r="7" spans="1:10" ht="60" customHeight="1" x14ac:dyDescent="0.3">
      <c r="A7" s="4" t="s">
        <v>58</v>
      </c>
      <c r="B7" s="4" t="s">
        <v>31</v>
      </c>
      <c r="C7" s="4" t="s">
        <v>59</v>
      </c>
      <c r="D7" s="4" t="s">
        <v>55</v>
      </c>
      <c r="E7" s="4" t="s">
        <v>60</v>
      </c>
      <c r="F7" s="4" t="s">
        <v>61</v>
      </c>
      <c r="G7" s="4" t="s">
        <v>176</v>
      </c>
      <c r="H7" s="4" t="s">
        <v>160</v>
      </c>
      <c r="I7" s="4" t="s">
        <v>37</v>
      </c>
      <c r="J7" s="4"/>
    </row>
    <row r="8" spans="1:10" ht="60" customHeight="1" x14ac:dyDescent="0.3">
      <c r="A8" s="4" t="s">
        <v>62</v>
      </c>
      <c r="B8" s="4" t="s">
        <v>31</v>
      </c>
      <c r="C8" s="4" t="s">
        <v>63</v>
      </c>
      <c r="D8" s="4" t="s">
        <v>45</v>
      </c>
      <c r="E8" s="4" t="s">
        <v>64</v>
      </c>
      <c r="F8" s="4" t="s">
        <v>65</v>
      </c>
      <c r="G8" s="4" t="s">
        <v>177</v>
      </c>
      <c r="H8" s="4" t="s">
        <v>160</v>
      </c>
      <c r="I8" s="4" t="s">
        <v>48</v>
      </c>
      <c r="J8" s="4"/>
    </row>
    <row r="9" spans="1:10" ht="60" customHeight="1" x14ac:dyDescent="0.3">
      <c r="A9" s="4" t="s">
        <v>66</v>
      </c>
      <c r="B9" s="4" t="s">
        <v>31</v>
      </c>
      <c r="C9" s="4" t="s">
        <v>67</v>
      </c>
      <c r="D9" s="4" t="s">
        <v>68</v>
      </c>
      <c r="E9" s="4" t="s">
        <v>69</v>
      </c>
      <c r="F9" s="4" t="s">
        <v>70</v>
      </c>
      <c r="G9" s="4" t="s">
        <v>178</v>
      </c>
      <c r="H9" s="4" t="s">
        <v>179</v>
      </c>
      <c r="I9" s="4" t="s">
        <v>37</v>
      </c>
      <c r="J9" s="4"/>
    </row>
    <row r="10" spans="1:10" ht="60" customHeight="1" x14ac:dyDescent="0.3">
      <c r="A10" s="4" t="s">
        <v>71</v>
      </c>
      <c r="B10" s="4" t="s">
        <v>31</v>
      </c>
      <c r="C10" s="4" t="s">
        <v>72</v>
      </c>
      <c r="D10" s="4" t="s">
        <v>68</v>
      </c>
      <c r="E10" s="4" t="s">
        <v>73</v>
      </c>
      <c r="F10" s="4" t="s">
        <v>74</v>
      </c>
      <c r="G10" s="4" t="s">
        <v>185</v>
      </c>
      <c r="H10" s="4" t="s">
        <v>160</v>
      </c>
      <c r="I10" s="4" t="s">
        <v>48</v>
      </c>
      <c r="J10" s="4"/>
    </row>
    <row r="11" spans="1:10" ht="60" customHeight="1" x14ac:dyDescent="0.3">
      <c r="A11" s="4" t="s">
        <v>75</v>
      </c>
      <c r="B11" s="4" t="s">
        <v>76</v>
      </c>
      <c r="C11" s="4" t="s">
        <v>77</v>
      </c>
      <c r="D11" s="4" t="s">
        <v>68</v>
      </c>
      <c r="E11" s="4" t="s">
        <v>186</v>
      </c>
      <c r="F11" s="4" t="s">
        <v>187</v>
      </c>
      <c r="G11" s="4" t="s">
        <v>188</v>
      </c>
      <c r="H11" s="4" t="s">
        <v>160</v>
      </c>
      <c r="I11" s="4" t="s">
        <v>37</v>
      </c>
      <c r="J11" s="4"/>
    </row>
    <row r="12" spans="1:10" ht="60" customHeight="1" x14ac:dyDescent="0.3">
      <c r="A12" s="4" t="s">
        <v>78</v>
      </c>
      <c r="B12" s="4" t="s">
        <v>76</v>
      </c>
      <c r="C12" s="4" t="s">
        <v>79</v>
      </c>
      <c r="D12" s="4" t="s">
        <v>68</v>
      </c>
      <c r="E12" s="4" t="s">
        <v>80</v>
      </c>
      <c r="F12" s="4" t="s">
        <v>81</v>
      </c>
      <c r="G12" s="4" t="s">
        <v>199</v>
      </c>
      <c r="H12" s="4" t="s">
        <v>160</v>
      </c>
      <c r="I12" s="4" t="s">
        <v>48</v>
      </c>
      <c r="J12" s="4"/>
    </row>
    <row r="13" spans="1:10" ht="60" customHeight="1" x14ac:dyDescent="0.3">
      <c r="A13" s="4" t="s">
        <v>82</v>
      </c>
      <c r="B13" s="4" t="s">
        <v>76</v>
      </c>
      <c r="C13" s="4" t="s">
        <v>83</v>
      </c>
      <c r="D13" s="4" t="s">
        <v>84</v>
      </c>
      <c r="E13" s="4" t="s">
        <v>85</v>
      </c>
      <c r="F13" s="4" t="s">
        <v>86</v>
      </c>
      <c r="G13" s="4" t="s">
        <v>200</v>
      </c>
      <c r="H13" s="4" t="s">
        <v>169</v>
      </c>
      <c r="I13" s="4" t="s">
        <v>48</v>
      </c>
      <c r="J13" s="4" t="s">
        <v>201</v>
      </c>
    </row>
    <row r="14" spans="1:10" ht="60" customHeight="1" x14ac:dyDescent="0.3">
      <c r="A14" s="4" t="s">
        <v>88</v>
      </c>
      <c r="B14" s="4" t="s">
        <v>76</v>
      </c>
      <c r="C14" s="4" t="s">
        <v>89</v>
      </c>
      <c r="D14" s="4" t="s">
        <v>68</v>
      </c>
      <c r="E14" s="4" t="s">
        <v>90</v>
      </c>
      <c r="F14" s="4" t="s">
        <v>91</v>
      </c>
      <c r="G14" s="4" t="s">
        <v>207</v>
      </c>
      <c r="H14" s="4" t="s">
        <v>169</v>
      </c>
      <c r="I14" s="4" t="s">
        <v>87</v>
      </c>
      <c r="J14" s="4" t="s">
        <v>208</v>
      </c>
    </row>
    <row r="15" spans="1:10" ht="60" customHeight="1" x14ac:dyDescent="0.3">
      <c r="A15" s="4" t="s">
        <v>92</v>
      </c>
      <c r="B15" s="4" t="s">
        <v>93</v>
      </c>
      <c r="C15" s="4" t="s">
        <v>94</v>
      </c>
      <c r="D15" s="4" t="s">
        <v>209</v>
      </c>
      <c r="E15" s="4" t="s">
        <v>95</v>
      </c>
      <c r="F15" s="4" t="s">
        <v>96</v>
      </c>
      <c r="G15" s="4" t="s">
        <v>210</v>
      </c>
      <c r="H15" s="4" t="s">
        <v>169</v>
      </c>
      <c r="I15" s="4" t="s">
        <v>37</v>
      </c>
      <c r="J15" s="4" t="s">
        <v>208</v>
      </c>
    </row>
    <row r="16" spans="1:10" ht="60" customHeight="1" x14ac:dyDescent="0.3">
      <c r="A16" s="4" t="s">
        <v>97</v>
      </c>
      <c r="B16" s="4" t="s">
        <v>93</v>
      </c>
      <c r="C16" s="4" t="s">
        <v>98</v>
      </c>
      <c r="D16" s="4" t="s">
        <v>99</v>
      </c>
      <c r="E16" s="4" t="s">
        <v>100</v>
      </c>
      <c r="F16" s="4" t="s">
        <v>101</v>
      </c>
      <c r="G16" s="4" t="s">
        <v>211</v>
      </c>
      <c r="H16" s="4" t="s">
        <v>160</v>
      </c>
      <c r="I16" s="4" t="s">
        <v>37</v>
      </c>
      <c r="J16" s="4"/>
    </row>
    <row r="17" spans="1:10" ht="60" customHeight="1" x14ac:dyDescent="0.3">
      <c r="A17" s="4" t="s">
        <v>102</v>
      </c>
      <c r="B17" s="4" t="s">
        <v>93</v>
      </c>
      <c r="C17" s="4" t="s">
        <v>103</v>
      </c>
      <c r="D17" s="4" t="s">
        <v>104</v>
      </c>
      <c r="E17" s="4" t="s">
        <v>105</v>
      </c>
      <c r="F17" s="4" t="s">
        <v>106</v>
      </c>
      <c r="G17" s="4" t="s">
        <v>212</v>
      </c>
      <c r="H17" s="4" t="s">
        <v>160</v>
      </c>
      <c r="I17" s="4" t="s">
        <v>37</v>
      </c>
      <c r="J17" s="4"/>
    </row>
    <row r="18" spans="1:10" ht="60" customHeight="1" x14ac:dyDescent="0.3">
      <c r="A18" s="4" t="s">
        <v>107</v>
      </c>
      <c r="B18" s="4" t="s">
        <v>93</v>
      </c>
      <c r="C18" s="4" t="s">
        <v>108</v>
      </c>
      <c r="D18" s="4" t="s">
        <v>104</v>
      </c>
      <c r="E18" s="4" t="s">
        <v>109</v>
      </c>
      <c r="F18" s="4" t="s">
        <v>110</v>
      </c>
      <c r="G18" s="4" t="s">
        <v>213</v>
      </c>
      <c r="H18" s="4" t="s">
        <v>160</v>
      </c>
      <c r="I18" s="4" t="s">
        <v>37</v>
      </c>
      <c r="J18" s="4"/>
    </row>
    <row r="19" spans="1:10" ht="60" customHeight="1" x14ac:dyDescent="0.3">
      <c r="A19" s="4" t="s">
        <v>111</v>
      </c>
      <c r="B19" s="4" t="s">
        <v>93</v>
      </c>
      <c r="C19" s="4" t="s">
        <v>112</v>
      </c>
      <c r="D19" s="4" t="s">
        <v>113</v>
      </c>
      <c r="E19" s="4" t="s">
        <v>114</v>
      </c>
      <c r="F19" s="4" t="s">
        <v>115</v>
      </c>
      <c r="G19" s="4" t="s">
        <v>214</v>
      </c>
      <c r="H19" s="4" t="s">
        <v>160</v>
      </c>
      <c r="I19" s="4" t="s">
        <v>37</v>
      </c>
      <c r="J19" s="4"/>
    </row>
    <row r="20" spans="1:10" ht="60" customHeight="1" x14ac:dyDescent="0.3">
      <c r="A20" s="4" t="s">
        <v>116</v>
      </c>
      <c r="B20" s="4" t="s">
        <v>93</v>
      </c>
      <c r="C20" s="4" t="s">
        <v>117</v>
      </c>
      <c r="D20" s="4" t="s">
        <v>118</v>
      </c>
      <c r="E20" s="4" t="s">
        <v>119</v>
      </c>
      <c r="F20" s="4" t="s">
        <v>120</v>
      </c>
      <c r="G20" s="4" t="s">
        <v>221</v>
      </c>
      <c r="H20" s="4" t="s">
        <v>169</v>
      </c>
      <c r="I20" s="4" t="s">
        <v>48</v>
      </c>
      <c r="J20" s="4" t="s">
        <v>222</v>
      </c>
    </row>
    <row r="21" spans="1:10" ht="60" customHeight="1" x14ac:dyDescent="0.3">
      <c r="A21" s="4" t="s">
        <v>121</v>
      </c>
      <c r="B21" s="4" t="s">
        <v>93</v>
      </c>
      <c r="C21" s="4" t="s">
        <v>122</v>
      </c>
      <c r="D21" s="4" t="s">
        <v>104</v>
      </c>
      <c r="E21" s="4" t="s">
        <v>123</v>
      </c>
      <c r="F21" s="4" t="s">
        <v>124</v>
      </c>
      <c r="G21" s="4" t="s">
        <v>223</v>
      </c>
      <c r="H21" s="4" t="s">
        <v>160</v>
      </c>
      <c r="I21" s="4" t="s">
        <v>48</v>
      </c>
      <c r="J21" s="4"/>
    </row>
    <row r="22" spans="1:10" ht="60" customHeight="1" x14ac:dyDescent="0.3">
      <c r="A22" s="4" t="s">
        <v>125</v>
      </c>
      <c r="B22" s="4" t="s">
        <v>93</v>
      </c>
      <c r="C22" s="4" t="s">
        <v>126</v>
      </c>
      <c r="D22" s="4" t="s">
        <v>104</v>
      </c>
      <c r="E22" s="4" t="s">
        <v>127</v>
      </c>
      <c r="F22" s="4" t="s">
        <v>128</v>
      </c>
      <c r="G22" s="4" t="s">
        <v>224</v>
      </c>
      <c r="H22" s="4" t="s">
        <v>160</v>
      </c>
      <c r="I22" s="4" t="s">
        <v>87</v>
      </c>
      <c r="J22" s="4"/>
    </row>
    <row r="23" spans="1:10" ht="60" customHeight="1" x14ac:dyDescent="0.3">
      <c r="A23" s="4" t="s">
        <v>129</v>
      </c>
      <c r="B23" s="4" t="s">
        <v>130</v>
      </c>
      <c r="C23" s="4" t="s">
        <v>131</v>
      </c>
      <c r="D23" s="4" t="s">
        <v>132</v>
      </c>
      <c r="E23" s="4" t="s">
        <v>133</v>
      </c>
      <c r="F23" s="4" t="s">
        <v>134</v>
      </c>
      <c r="G23" s="4" t="s">
        <v>230</v>
      </c>
      <c r="H23" s="4" t="s">
        <v>169</v>
      </c>
      <c r="I23" s="4" t="s">
        <v>37</v>
      </c>
      <c r="J23" s="4"/>
    </row>
    <row r="24" spans="1:10" ht="60" customHeight="1" x14ac:dyDescent="0.3">
      <c r="A24" s="4" t="s">
        <v>135</v>
      </c>
      <c r="B24" s="4" t="s">
        <v>130</v>
      </c>
      <c r="C24" s="4" t="s">
        <v>136</v>
      </c>
      <c r="D24" s="4" t="s">
        <v>68</v>
      </c>
      <c r="E24" s="4" t="s">
        <v>137</v>
      </c>
      <c r="F24" s="4" t="s">
        <v>138</v>
      </c>
      <c r="G24" s="4" t="s">
        <v>237</v>
      </c>
      <c r="H24" s="4" t="s">
        <v>169</v>
      </c>
      <c r="I24" s="4" t="s">
        <v>48</v>
      </c>
      <c r="J24" s="4"/>
    </row>
    <row r="25" spans="1:10" ht="52.8" x14ac:dyDescent="0.3">
      <c r="A25" s="10" t="s">
        <v>189</v>
      </c>
      <c r="B25" s="10" t="s">
        <v>76</v>
      </c>
      <c r="C25" s="10" t="s">
        <v>193</v>
      </c>
      <c r="D25" s="10" t="s">
        <v>68</v>
      </c>
      <c r="E25" s="10" t="s">
        <v>190</v>
      </c>
      <c r="F25" s="10" t="s">
        <v>191</v>
      </c>
      <c r="G25" t="s">
        <v>192</v>
      </c>
      <c r="H25" s="10" t="s">
        <v>169</v>
      </c>
      <c r="I25" s="10" t="s">
        <v>48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C4CC-B03F-4AD7-97B4-F8589DB75CEF}">
  <dimension ref="A1:J10"/>
  <sheetViews>
    <sheetView zoomScaleNormal="100" workbookViewId="0">
      <pane ySplit="1" topLeftCell="A2" activePane="bottomLeft" state="frozen"/>
      <selection pane="bottomLeft" activeCell="G8" sqref="G8"/>
    </sheetView>
  </sheetViews>
  <sheetFormatPr defaultColWidth="8.6640625" defaultRowHeight="14.4" x14ac:dyDescent="0.3"/>
  <cols>
    <col min="1" max="1" width="8" customWidth="1"/>
    <col min="2" max="2" width="26" customWidth="1"/>
    <col min="3" max="3" width="14" customWidth="1"/>
    <col min="4" max="4" width="40" customWidth="1"/>
    <col min="5" max="6" width="28" customWidth="1"/>
    <col min="7" max="8" width="10" customWidth="1"/>
    <col min="9" max="9" width="12" customWidth="1"/>
    <col min="10" max="10" width="20" customWidth="1"/>
  </cols>
  <sheetData>
    <row r="1" spans="1:10" x14ac:dyDescent="0.3">
      <c r="A1" s="3" t="s">
        <v>139</v>
      </c>
      <c r="B1" s="3" t="s">
        <v>22</v>
      </c>
      <c r="C1" s="3" t="s">
        <v>21</v>
      </c>
      <c r="D1" s="3" t="s">
        <v>140</v>
      </c>
      <c r="E1" s="3" t="s">
        <v>141</v>
      </c>
      <c r="F1" s="3" t="s">
        <v>142</v>
      </c>
      <c r="G1" s="3" t="s">
        <v>143</v>
      </c>
      <c r="H1" s="3" t="s">
        <v>28</v>
      </c>
      <c r="I1" s="3" t="s">
        <v>27</v>
      </c>
      <c r="J1" s="3" t="s">
        <v>144</v>
      </c>
    </row>
    <row r="2" spans="1:10" ht="54.75" customHeight="1" x14ac:dyDescent="0.3">
      <c r="A2" s="4" t="s">
        <v>145</v>
      </c>
      <c r="B2" s="7" t="s">
        <v>154</v>
      </c>
      <c r="C2" s="7" t="s">
        <v>31</v>
      </c>
      <c r="D2" s="7" t="s">
        <v>155</v>
      </c>
      <c r="E2" s="7" t="s">
        <v>156</v>
      </c>
      <c r="F2" s="8" t="s">
        <v>157</v>
      </c>
      <c r="G2" s="7" t="s">
        <v>158</v>
      </c>
      <c r="H2" s="7" t="s">
        <v>48</v>
      </c>
      <c r="I2" s="7" t="s">
        <v>146</v>
      </c>
      <c r="J2" s="9" t="s">
        <v>159</v>
      </c>
    </row>
    <row r="3" spans="1:10" x14ac:dyDescent="0.3">
      <c r="A3" t="s">
        <v>162</v>
      </c>
      <c r="B3" t="s">
        <v>164</v>
      </c>
      <c r="C3" t="s">
        <v>31</v>
      </c>
      <c r="D3" t="s">
        <v>165</v>
      </c>
      <c r="E3" t="s">
        <v>166</v>
      </c>
      <c r="F3" t="s">
        <v>167</v>
      </c>
      <c r="G3" t="s">
        <v>168</v>
      </c>
      <c r="H3" t="s">
        <v>48</v>
      </c>
      <c r="I3" s="7" t="s">
        <v>146</v>
      </c>
    </row>
    <row r="4" spans="1:10" x14ac:dyDescent="0.3">
      <c r="A4" t="s">
        <v>163</v>
      </c>
      <c r="B4" t="s">
        <v>180</v>
      </c>
      <c r="C4" t="s">
        <v>181</v>
      </c>
      <c r="D4" t="s">
        <v>182</v>
      </c>
      <c r="E4" t="s">
        <v>183</v>
      </c>
      <c r="F4" t="s">
        <v>184</v>
      </c>
      <c r="G4" t="s">
        <v>87</v>
      </c>
      <c r="H4" t="s">
        <v>87</v>
      </c>
      <c r="I4" s="7" t="s">
        <v>146</v>
      </c>
    </row>
    <row r="5" spans="1:10" x14ac:dyDescent="0.3">
      <c r="A5" t="s">
        <v>194</v>
      </c>
      <c r="B5" t="s">
        <v>195</v>
      </c>
      <c r="C5" t="s">
        <v>76</v>
      </c>
      <c r="D5" t="s">
        <v>196</v>
      </c>
      <c r="E5" t="s">
        <v>197</v>
      </c>
      <c r="F5" t="s">
        <v>198</v>
      </c>
      <c r="G5" t="s">
        <v>48</v>
      </c>
      <c r="H5" t="s">
        <v>48</v>
      </c>
      <c r="I5" s="7" t="s">
        <v>146</v>
      </c>
    </row>
    <row r="6" spans="1:10" x14ac:dyDescent="0.3">
      <c r="A6" t="s">
        <v>202</v>
      </c>
      <c r="B6" t="s">
        <v>203</v>
      </c>
      <c r="C6" t="s">
        <v>76</v>
      </c>
      <c r="D6" t="s">
        <v>204</v>
      </c>
      <c r="E6" t="s">
        <v>205</v>
      </c>
      <c r="F6" t="s">
        <v>206</v>
      </c>
      <c r="G6" t="s">
        <v>48</v>
      </c>
      <c r="H6" t="s">
        <v>48</v>
      </c>
      <c r="I6" s="7" t="s">
        <v>146</v>
      </c>
    </row>
    <row r="7" spans="1:10" x14ac:dyDescent="0.3">
      <c r="A7" t="s">
        <v>215</v>
      </c>
      <c r="B7" t="s">
        <v>216</v>
      </c>
      <c r="C7" t="s">
        <v>93</v>
      </c>
      <c r="D7" t="s">
        <v>217</v>
      </c>
      <c r="E7" t="s">
        <v>218</v>
      </c>
      <c r="F7" t="s">
        <v>219</v>
      </c>
      <c r="G7" t="s">
        <v>220</v>
      </c>
      <c r="H7" t="s">
        <v>87</v>
      </c>
      <c r="I7" s="7" t="s">
        <v>146</v>
      </c>
    </row>
    <row r="8" spans="1:10" x14ac:dyDescent="0.3">
      <c r="A8" t="s">
        <v>225</v>
      </c>
      <c r="B8" t="s">
        <v>226</v>
      </c>
      <c r="C8" t="s">
        <v>93</v>
      </c>
      <c r="D8" t="s">
        <v>227</v>
      </c>
      <c r="E8" t="s">
        <v>228</v>
      </c>
      <c r="F8" t="s">
        <v>229</v>
      </c>
      <c r="G8" t="s">
        <v>37</v>
      </c>
      <c r="H8" t="s">
        <v>37</v>
      </c>
      <c r="I8" s="7" t="s">
        <v>146</v>
      </c>
    </row>
    <row r="9" spans="1:10" x14ac:dyDescent="0.3">
      <c r="A9" t="s">
        <v>231</v>
      </c>
      <c r="B9" t="s">
        <v>232</v>
      </c>
      <c r="C9" t="s">
        <v>233</v>
      </c>
      <c r="D9" t="s">
        <v>234</v>
      </c>
      <c r="E9" t="s">
        <v>235</v>
      </c>
      <c r="F9" t="s">
        <v>236</v>
      </c>
      <c r="G9" t="s">
        <v>37</v>
      </c>
      <c r="H9" t="s">
        <v>37</v>
      </c>
      <c r="I9" s="7" t="s">
        <v>146</v>
      </c>
    </row>
    <row r="10" spans="1:10" x14ac:dyDescent="0.3">
      <c r="A10" t="s">
        <v>238</v>
      </c>
      <c r="B10" t="s">
        <v>239</v>
      </c>
      <c r="C10" t="s">
        <v>93</v>
      </c>
      <c r="D10" t="s">
        <v>240</v>
      </c>
      <c r="E10" t="s">
        <v>241</v>
      </c>
      <c r="F10" t="s">
        <v>242</v>
      </c>
      <c r="G10" t="s">
        <v>37</v>
      </c>
      <c r="H10" t="s">
        <v>48</v>
      </c>
      <c r="I10" s="7" t="s">
        <v>146</v>
      </c>
    </row>
  </sheetData>
  <hyperlinks>
    <hyperlink ref="J2" r:id="rId1" xr:uid="{5D56F144-D593-43F1-8783-8FF4B60DA954}"/>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zoomScaleNormal="100" workbookViewId="0">
      <selection activeCell="B3" sqref="B3"/>
    </sheetView>
  </sheetViews>
  <sheetFormatPr defaultColWidth="8.6640625" defaultRowHeight="14.4" x14ac:dyDescent="0.3"/>
  <cols>
    <col min="1" max="1" width="30" customWidth="1"/>
    <col min="2" max="2" width="70" customWidth="1"/>
  </cols>
  <sheetData>
    <row r="1" spans="1:2" ht="17.25" customHeight="1" x14ac:dyDescent="0.3">
      <c r="A1" s="5" t="s">
        <v>147</v>
      </c>
      <c r="B1" s="5"/>
    </row>
    <row r="3" spans="1:2" ht="30" customHeight="1" x14ac:dyDescent="0.3">
      <c r="A3" s="1" t="s">
        <v>148</v>
      </c>
      <c r="B3" s="2">
        <f>COUNTA('Test Cases'!A2:A100)</f>
        <v>24</v>
      </c>
    </row>
    <row r="4" spans="1:2" ht="30" customHeight="1" x14ac:dyDescent="0.3">
      <c r="A4" s="1" t="s">
        <v>149</v>
      </c>
      <c r="B4" s="2">
        <f>COUNTIF('Test Cases'!H:H,"Pass")</f>
        <v>15</v>
      </c>
    </row>
    <row r="5" spans="1:2" ht="30" customHeight="1" x14ac:dyDescent="0.3">
      <c r="A5" s="1" t="s">
        <v>150</v>
      </c>
      <c r="B5" s="2">
        <f>COUNTIF('Test Cases'!H:H,"Fail")</f>
        <v>8</v>
      </c>
    </row>
    <row r="6" spans="1:2" ht="30" customHeight="1" x14ac:dyDescent="0.3">
      <c r="A6" s="1" t="s">
        <v>36</v>
      </c>
      <c r="B6" s="2">
        <f>COUNTIF('Test Cases'!H:H,"Not Run")</f>
        <v>0</v>
      </c>
    </row>
    <row r="7" spans="1:2" ht="30" customHeight="1" x14ac:dyDescent="0.3">
      <c r="A7" s="1" t="s">
        <v>151</v>
      </c>
      <c r="B7" s="2">
        <f>COUNTA('Bug Log'!A2:A100)</f>
        <v>9</v>
      </c>
    </row>
    <row r="8" spans="1:2" ht="30" customHeight="1" x14ac:dyDescent="0.3">
      <c r="A8" s="1" t="s">
        <v>152</v>
      </c>
      <c r="B8" s="2">
        <f>COUNTIF('Bug Log'!G:G,"High")</f>
        <v>3</v>
      </c>
    </row>
    <row r="9" spans="1:2" ht="30" customHeight="1" x14ac:dyDescent="0.3">
      <c r="A9" s="1" t="s">
        <v>17</v>
      </c>
      <c r="B9" s="2" t="s">
        <v>244</v>
      </c>
    </row>
    <row r="10" spans="1:2" ht="30" customHeight="1" x14ac:dyDescent="0.3">
      <c r="A10" s="1" t="s">
        <v>153</v>
      </c>
      <c r="B10" s="2" t="s">
        <v>245</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Plan</vt:lpstr>
      <vt:lpstr>Test Cases</vt:lpstr>
      <vt:lpstr>Bug Log</vt:lpstr>
      <vt:lpstr>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Rifah 22101180</cp:lastModifiedBy>
  <cp:revision>0</cp:revision>
  <dcterms:created xsi:type="dcterms:W3CDTF">2026-07-04T14:08:52Z</dcterms:created>
  <dcterms:modified xsi:type="dcterms:W3CDTF">2026-07-05T14:30:21Z</dcterms:modified>
  <dc:language>en-US</dc:language>
</cp:coreProperties>
</file>